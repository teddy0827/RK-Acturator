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h08\OneDrive\바탕 화면\메모\"/>
    </mc:Choice>
  </mc:AlternateContent>
  <xr:revisionPtr revIDLastSave="0" documentId="13_ncr:1_{4CB314B3-A3D7-468F-97BC-C012DD668F25}" xr6:coauthVersionLast="47" xr6:coauthVersionMax="47" xr10:uidLastSave="{00000000-0000-0000-0000-000000000000}"/>
  <bookViews>
    <workbookView xWindow="-108" yWindow="-108" windowWidth="23256" windowHeight="12456" activeTab="1" xr2:uid="{A34D56EE-81B7-4EF6-AC0D-231925331A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2" i="1" l="1"/>
  <c r="P62" i="1"/>
  <c r="O62" i="1"/>
  <c r="N62" i="1"/>
  <c r="M62" i="1"/>
  <c r="L62" i="1"/>
  <c r="K62" i="1"/>
  <c r="J62" i="1"/>
  <c r="I62" i="1"/>
  <c r="H62" i="1"/>
  <c r="R62" i="1" s="1"/>
  <c r="R60" i="1"/>
  <c r="Q60" i="1"/>
  <c r="P60" i="1"/>
  <c r="O60" i="1"/>
  <c r="N60" i="1"/>
  <c r="M60" i="1"/>
  <c r="K60" i="1"/>
  <c r="J60" i="1"/>
  <c r="I60" i="1"/>
  <c r="H60" i="1"/>
  <c r="R48" i="1"/>
  <c r="R46" i="1"/>
  <c r="Q55" i="1"/>
  <c r="P55" i="1"/>
  <c r="O55" i="1"/>
  <c r="N55" i="1"/>
  <c r="M55" i="1"/>
  <c r="L55" i="1"/>
  <c r="K55" i="1"/>
  <c r="J55" i="1"/>
  <c r="I55" i="1"/>
  <c r="H55" i="1"/>
  <c r="Q53" i="1"/>
  <c r="P53" i="1"/>
  <c r="O53" i="1"/>
  <c r="N53" i="1"/>
  <c r="M53" i="1"/>
  <c r="L53" i="1"/>
  <c r="K53" i="1"/>
  <c r="J53" i="1"/>
  <c r="I53" i="1"/>
  <c r="H53" i="1"/>
  <c r="Q48" i="1"/>
  <c r="P48" i="1"/>
  <c r="O48" i="1"/>
  <c r="N48" i="1"/>
  <c r="M48" i="1"/>
  <c r="L48" i="1"/>
  <c r="K48" i="1"/>
  <c r="J48" i="1"/>
  <c r="I48" i="1"/>
  <c r="H48" i="1"/>
  <c r="Q46" i="1"/>
  <c r="P46" i="1"/>
  <c r="O46" i="1"/>
  <c r="N46" i="1"/>
  <c r="M46" i="1"/>
  <c r="L46" i="1"/>
  <c r="K46" i="1"/>
  <c r="J46" i="1"/>
  <c r="I46" i="1"/>
  <c r="H46" i="1"/>
  <c r="O41" i="1"/>
  <c r="N41" i="1"/>
  <c r="M41" i="1"/>
  <c r="L41" i="1"/>
  <c r="K41" i="1"/>
  <c r="J41" i="1"/>
  <c r="I41" i="1"/>
  <c r="H41" i="1"/>
  <c r="R41" i="1" s="1"/>
  <c r="Q38" i="1"/>
  <c r="N38" i="1"/>
  <c r="M38" i="1"/>
  <c r="K38" i="1"/>
  <c r="J38" i="1"/>
  <c r="I38" i="1"/>
  <c r="H38" i="1"/>
  <c r="R31" i="1"/>
  <c r="Q34" i="1"/>
  <c r="P34" i="1"/>
  <c r="O34" i="1"/>
  <c r="N34" i="1"/>
  <c r="M34" i="1"/>
  <c r="L34" i="1"/>
  <c r="K34" i="1"/>
  <c r="J34" i="1"/>
  <c r="I34" i="1"/>
  <c r="H34" i="1"/>
  <c r="R34" i="1" s="1"/>
  <c r="H31" i="1"/>
  <c r="I31" i="1"/>
  <c r="J31" i="1"/>
  <c r="K31" i="1"/>
  <c r="L31" i="1"/>
  <c r="M31" i="1"/>
  <c r="N31" i="1"/>
  <c r="O31" i="1"/>
  <c r="P31" i="1"/>
  <c r="Q31" i="1"/>
  <c r="R38" i="1" l="1"/>
</calcChain>
</file>

<file path=xl/sharedStrings.xml><?xml version="1.0" encoding="utf-8"?>
<sst xmlns="http://schemas.openxmlformats.org/spreadsheetml/2006/main" count="251" uniqueCount="74">
  <si>
    <t>RK1</t>
    <phoneticPr fontId="1" type="noConversion"/>
  </si>
  <si>
    <t>RK3</t>
    <phoneticPr fontId="1" type="noConversion"/>
  </si>
  <si>
    <t>RK5</t>
    <phoneticPr fontId="1" type="noConversion"/>
  </si>
  <si>
    <t>RK7</t>
  </si>
  <si>
    <t>RK9</t>
  </si>
  <si>
    <t>RK11</t>
  </si>
  <si>
    <t>RK13</t>
  </si>
  <si>
    <t>RK15</t>
  </si>
  <si>
    <t>RK17</t>
  </si>
  <si>
    <t>RK19</t>
  </si>
  <si>
    <t>RK2</t>
    <phoneticPr fontId="1" type="noConversion"/>
  </si>
  <si>
    <t>RK4</t>
    <phoneticPr fontId="1" type="noConversion"/>
  </si>
  <si>
    <t>RK6</t>
    <phoneticPr fontId="1" type="noConversion"/>
  </si>
  <si>
    <t>RK8</t>
  </si>
  <si>
    <t>RK10</t>
  </si>
  <si>
    <t>RK12</t>
  </si>
  <si>
    <t>RK14</t>
  </si>
  <si>
    <t>RK16</t>
  </si>
  <si>
    <t>RK18</t>
  </si>
  <si>
    <t>RK20</t>
  </si>
  <si>
    <t>X</t>
    <phoneticPr fontId="1" type="noConversion"/>
  </si>
  <si>
    <t>Y</t>
    <phoneticPr fontId="1" type="noConversion"/>
  </si>
  <si>
    <t>0차(2para)</t>
    <phoneticPr fontId="1" type="noConversion"/>
  </si>
  <si>
    <t>1차(6para)</t>
    <phoneticPr fontId="1" type="noConversion"/>
  </si>
  <si>
    <t>3차(15para)</t>
    <phoneticPr fontId="1" type="noConversion"/>
  </si>
  <si>
    <t>3차(18para)</t>
    <phoneticPr fontId="1" type="noConversion"/>
  </si>
  <si>
    <t>3차(20para)</t>
    <phoneticPr fontId="1" type="noConversion"/>
  </si>
  <si>
    <t>X_mode</t>
    <phoneticPr fontId="1" type="noConversion"/>
  </si>
  <si>
    <t>K1</t>
    <phoneticPr fontId="1" type="noConversion"/>
  </si>
  <si>
    <t>K3</t>
    <phoneticPr fontId="1" type="noConversion"/>
  </si>
  <si>
    <t>K5</t>
    <phoneticPr fontId="1" type="noConversion"/>
  </si>
  <si>
    <t>K7</t>
    <phoneticPr fontId="1" type="noConversion"/>
  </si>
  <si>
    <t>K9</t>
  </si>
  <si>
    <t>K11</t>
  </si>
  <si>
    <t>K13</t>
  </si>
  <si>
    <t>K15</t>
  </si>
  <si>
    <t>K17</t>
  </si>
  <si>
    <t>K19</t>
  </si>
  <si>
    <t>K2</t>
    <phoneticPr fontId="1" type="noConversion"/>
  </si>
  <si>
    <t>K4</t>
    <phoneticPr fontId="1" type="noConversion"/>
  </si>
  <si>
    <t>K6</t>
    <phoneticPr fontId="1" type="noConversion"/>
  </si>
  <si>
    <t>K8</t>
  </si>
  <si>
    <t>K10</t>
  </si>
  <si>
    <t>K12</t>
  </si>
  <si>
    <t>K14</t>
  </si>
  <si>
    <t>K16</t>
  </si>
  <si>
    <t>K18</t>
  </si>
  <si>
    <t>K20</t>
  </si>
  <si>
    <t>dx</t>
    <phoneticPr fontId="1" type="noConversion"/>
  </si>
  <si>
    <t>K9</t>
    <phoneticPr fontId="1" type="noConversion"/>
  </si>
  <si>
    <t>K11</t>
    <phoneticPr fontId="1" type="noConversion"/>
  </si>
  <si>
    <t>K13</t>
    <phoneticPr fontId="1" type="noConversion"/>
  </si>
  <si>
    <t>K15</t>
    <phoneticPr fontId="1" type="noConversion"/>
  </si>
  <si>
    <t>K17</t>
    <phoneticPr fontId="1" type="noConversion"/>
  </si>
  <si>
    <t>K19</t>
    <phoneticPr fontId="1" type="noConversion"/>
  </si>
  <si>
    <t>K8</t>
    <phoneticPr fontId="1" type="noConversion"/>
  </si>
  <si>
    <t>K10</t>
    <phoneticPr fontId="1" type="noConversion"/>
  </si>
  <si>
    <t>K12</t>
    <phoneticPr fontId="1" type="noConversion"/>
  </si>
  <si>
    <t>K14</t>
    <phoneticPr fontId="1" type="noConversion"/>
  </si>
  <si>
    <t>K16</t>
    <phoneticPr fontId="1" type="noConversion"/>
  </si>
  <si>
    <t>K18</t>
    <phoneticPr fontId="1" type="noConversion"/>
  </si>
  <si>
    <t>K20</t>
    <phoneticPr fontId="1" type="noConversion"/>
  </si>
  <si>
    <t>x^2</t>
    <phoneticPr fontId="1" type="noConversion"/>
  </si>
  <si>
    <t>x^0</t>
    <phoneticPr fontId="1" type="noConversion"/>
  </si>
  <si>
    <t>x^1</t>
    <phoneticPr fontId="1" type="noConversion"/>
  </si>
  <si>
    <t>x^3</t>
    <phoneticPr fontId="1" type="noConversion"/>
  </si>
  <si>
    <t>y^0</t>
    <phoneticPr fontId="1" type="noConversion"/>
  </si>
  <si>
    <t>y^1</t>
    <phoneticPr fontId="1" type="noConversion"/>
  </si>
  <si>
    <t>y^2</t>
    <phoneticPr fontId="1" type="noConversion"/>
  </si>
  <si>
    <t>y^3</t>
    <phoneticPr fontId="1" type="noConversion"/>
  </si>
  <si>
    <t>WS</t>
    <phoneticPr fontId="1" type="noConversion"/>
  </si>
  <si>
    <t>LENS</t>
    <phoneticPr fontId="1" type="noConversion"/>
  </si>
  <si>
    <t>SCANNING LENS</t>
    <phoneticPr fontId="1" type="noConversion"/>
  </si>
  <si>
    <t>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</si>
</sst>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15</xdr:row>
      <xdr:rowOff>190500</xdr:rowOff>
    </xdr:from>
    <xdr:to>
      <xdr:col>18</xdr:col>
      <xdr:colOff>243840</xdr:colOff>
      <xdr:row>28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EDEE33-3A3B-1897-A689-9A0C148AF29C}"/>
            </a:ext>
          </a:extLst>
        </xdr:cNvPr>
        <xdr:cNvSpPr txBox="1"/>
      </xdr:nvSpPr>
      <xdr:spPr>
        <a:xfrm>
          <a:off x="10165080" y="3505200"/>
          <a:ext cx="2697480" cy="2811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■ </a:t>
          </a:r>
          <a:r>
            <a:rPr lang="en-US" altLang="ko-KR" sz="1100"/>
            <a:t>Wafer</a:t>
          </a:r>
          <a:r>
            <a:rPr lang="en-US" altLang="ko-KR" sz="1100" baseline="0"/>
            <a:t> Stage</a:t>
          </a:r>
        </a:p>
        <a:p>
          <a:r>
            <a:rPr lang="en-US" altLang="ko-KR" sz="1100" baseline="0"/>
            <a:t>X</a:t>
          </a:r>
          <a:r>
            <a:rPr lang="ko-KR" altLang="en-US" sz="1100" baseline="0"/>
            <a:t>방향 </a:t>
          </a:r>
          <a:r>
            <a:rPr lang="en-US" altLang="ko-KR" sz="1100" baseline="0"/>
            <a:t>: K1, K5, K11, K19</a:t>
          </a:r>
        </a:p>
        <a:p>
          <a:r>
            <a:rPr lang="en-US" altLang="ko-KR" sz="1100" baseline="0"/>
            <a:t>Y</a:t>
          </a:r>
          <a:r>
            <a:rPr lang="ko-KR" altLang="en-US" sz="1100" baseline="0"/>
            <a:t>방향 </a:t>
          </a:r>
          <a:r>
            <a:rPr lang="en-US" altLang="ko-KR" sz="1100" baseline="0"/>
            <a:t>: K2, K4, K8, K14</a:t>
          </a:r>
        </a:p>
        <a:p>
          <a:endParaRPr lang="en-US" altLang="ko-KR" sz="1100" baseline="0"/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/>
            <a:t>LENS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K3, K7, K13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K6, K12, K20</a:t>
          </a:r>
        </a:p>
        <a:p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■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SCANNING LENS</a:t>
          </a: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K9, K15, K17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K10, K16, K18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effectLst/>
          </a:endParaRPr>
        </a:p>
        <a:p>
          <a:endParaRPr lang="ko-KR" altLang="ko-KR">
            <a:effectLst/>
          </a:endParaRPr>
        </a:p>
        <a:p>
          <a:endParaRPr lang="en-US" altLang="ko-KR" sz="1100"/>
        </a:p>
        <a:p>
          <a:endParaRPr lang="en-US" altLang="ko-KR" sz="1100"/>
        </a:p>
        <a:p>
          <a:r>
            <a:rPr lang="en-US" altLang="ko-KR" sz="1100" baseline="0"/>
            <a:t> </a:t>
          </a:r>
          <a:endParaRPr lang="ko-KR" altLang="en-US" sz="1100"/>
        </a:p>
      </xdr:txBody>
    </xdr:sp>
    <xdr:clientData/>
  </xdr:twoCellAnchor>
  <xdr:twoCellAnchor>
    <xdr:from>
      <xdr:col>0</xdr:col>
      <xdr:colOff>563880</xdr:colOff>
      <xdr:row>10</xdr:row>
      <xdr:rowOff>15240</xdr:rowOff>
    </xdr:from>
    <xdr:to>
      <xdr:col>10</xdr:col>
      <xdr:colOff>510540</xdr:colOff>
      <xdr:row>13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56AEF9-7998-502A-600B-5928F33A4E66}"/>
            </a:ext>
          </a:extLst>
        </xdr:cNvPr>
        <xdr:cNvSpPr txBox="1"/>
      </xdr:nvSpPr>
      <xdr:spPr>
        <a:xfrm>
          <a:off x="563880" y="2225040"/>
          <a:ext cx="7200900" cy="815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Polynomial</a:t>
          </a:r>
          <a:r>
            <a:rPr lang="en-US" altLang="ko-KR" sz="1100" baseline="0"/>
            <a:t> Regression</a:t>
          </a:r>
          <a:r>
            <a:rPr lang="ko-KR" altLang="en-US" sz="1100" baseline="0"/>
            <a:t>을 위한 수식</a:t>
          </a:r>
          <a:endParaRPr lang="en-US" altLang="ko-KR" sz="1100" baseline="0"/>
        </a:p>
        <a:p>
          <a:r>
            <a:rPr lang="en-US" altLang="ko-KR" sz="1100"/>
            <a:t>dx = RK1 + RK3*x - RK5*y + RK7*x^2 + RK9*x*y + RK11*y^2 + RK13*x^3 + RK15*x^2*y + RK17*x*y^2 + RK19*y^3</a:t>
          </a:r>
        </a:p>
        <a:p>
          <a:r>
            <a:rPr lang="en-US" altLang="ko-KR" sz="1100"/>
            <a:t>dy = RK2 + RK4*y + RK6*x + RK8*y^2 + RK10*y*x + RK12*x^2 + RK14*y^3 + RK16*y^2*x + RK18*y*x^2 + RK20*x^3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effectLst/>
          </a:endParaRPr>
        </a:p>
        <a:p>
          <a:endParaRPr lang="ko-KR" altLang="ko-KR">
            <a:effectLst/>
          </a:endParaRPr>
        </a:p>
        <a:p>
          <a:endParaRPr lang="en-US" altLang="ko-KR" sz="1100"/>
        </a:p>
        <a:p>
          <a:endParaRPr lang="en-US" altLang="ko-KR" sz="1100"/>
        </a:p>
        <a:p>
          <a:r>
            <a:rPr lang="en-US" altLang="ko-KR" sz="1100" baseline="0"/>
            <a:t> </a:t>
          </a:r>
          <a:endParaRPr lang="ko-KR" altLang="en-US" sz="1100"/>
        </a:p>
      </xdr:txBody>
    </xdr:sp>
    <xdr:clientData/>
  </xdr:twoCellAnchor>
  <xdr:twoCellAnchor>
    <xdr:from>
      <xdr:col>0</xdr:col>
      <xdr:colOff>617220</xdr:colOff>
      <xdr:row>14</xdr:row>
      <xdr:rowOff>167640</xdr:rowOff>
    </xdr:from>
    <xdr:to>
      <xdr:col>17</xdr:col>
      <xdr:colOff>411480</xdr:colOff>
      <xdr:row>38</xdr:row>
      <xdr:rowOff>213360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D0A792-38F1-05BF-4F64-AEA78CB8CDF9}"/>
            </a:ext>
          </a:extLst>
        </xdr:cNvPr>
        <xdr:cNvSpPr txBox="1"/>
      </xdr:nvSpPr>
      <xdr:spPr>
        <a:xfrm>
          <a:off x="617220" y="3261360"/>
          <a:ext cx="11742420" cy="5349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>
              <a:effectLst/>
            </a:rPr>
            <a:t>■ 배경지식</a:t>
          </a:r>
          <a:endParaRPr lang="en-US" altLang="ko-KR">
            <a:effectLst/>
          </a:endParaRPr>
        </a:p>
        <a:p>
          <a:endParaRPr lang="en-US" altLang="ko-KR">
            <a:effectLst/>
          </a:endParaRPr>
        </a:p>
        <a:p>
          <a:r>
            <a:rPr lang="en-US" altLang="ko-KR">
              <a:effectLst/>
            </a:rPr>
            <a:t>ASML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스캐너 노광설비에서 </a:t>
          </a:r>
          <a:r>
            <a:rPr lang="en-US" altLang="ko-KR" baseline="0">
              <a:effectLst/>
            </a:rPr>
            <a:t>Shot</a:t>
          </a:r>
          <a:r>
            <a:rPr lang="ko-KR" altLang="en-US" baseline="0">
              <a:effectLst/>
            </a:rPr>
            <a:t>성분 </a:t>
          </a:r>
          <a:r>
            <a:rPr lang="en-US" altLang="ko-KR" baseline="0">
              <a:effectLst/>
            </a:rPr>
            <a:t>missalign</a:t>
          </a:r>
          <a:r>
            <a:rPr lang="ko-KR" altLang="en-US" baseline="0">
              <a:effectLst/>
            </a:rPr>
            <a:t>을 보정하기 위해서 아래와 같은 모델링을 한다</a:t>
          </a:r>
          <a:r>
            <a:rPr lang="en-US" altLang="ko-KR" baseline="0">
              <a:effectLst/>
            </a:rPr>
            <a:t>. </a:t>
          </a:r>
          <a:endParaRPr lang="en-US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Polynomial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Regression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위한 수식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dx = RK1 + RK3*x - RK5*y + RK7*x^2 + RK9*x*y + RK11*y^2 + RK13*x^3 + RK15*x^2*y + RK17*x*y^2 + RK19*y^3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 = RK2 + RK4*y + RK6*x + RK8*y^2 + RK10*y*x + RK12*x^2 + RK14*y^3 + RK16*y^2*x + RK18*y*x^2 + RK20*x^3</a:t>
          </a:r>
          <a:endParaRPr lang="ko-KR" altLang="ko-KR">
            <a:effectLst/>
          </a:endParaRPr>
        </a:p>
        <a:p>
          <a:endParaRPr lang="ko-KR" altLang="ko-KR">
            <a:effectLst/>
          </a:endParaRPr>
        </a:p>
        <a:p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■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요구사항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인터넷상의 논문을 검색해서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ASML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노광설비가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shot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성분을 어떤식으로 보정하는지 검색해달라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각각의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RK Parameter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있으면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그걸 제어하기 위한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acturator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 있을것이다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엑츄레이터가 각각의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RK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parameter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어떻게 제어하는지 궁금하다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내가 알기론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  wafer stage, lens, scanning lens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제어하는것으로 알고있다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Wafer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Stage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K1, K5, K11, K19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K2, K4, K8, K14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LENS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K3, K7, K13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K6, K12, K20</a:t>
          </a:r>
          <a:endParaRPr lang="ko-KR" altLang="ko-KR">
            <a:effectLst/>
          </a:endParaRPr>
        </a:p>
        <a:p>
          <a:pPr eaLnBrk="1" fontAlgn="auto" latinLnBrk="0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SCANNING LENS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K9, K15, K17</a:t>
          </a:r>
          <a:endParaRPr lang="ko-KR" altLang="ko-KR">
            <a:effectLst/>
          </a:endParaRPr>
        </a:p>
        <a:p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</a:t>
          </a:r>
          <a:r>
            <a:rPr lang="ko-KR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방향 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K10, K16, K18</a:t>
          </a:r>
          <a:endParaRPr lang="ko-KR" altLang="ko-K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effectLst/>
          </a:endParaRPr>
        </a:p>
        <a:p>
          <a:endParaRPr lang="en-US" altLang="ko-KR" sz="1100"/>
        </a:p>
        <a:p>
          <a:endParaRPr lang="en-US" altLang="ko-KR" sz="1100"/>
        </a:p>
        <a:p>
          <a:r>
            <a:rPr lang="en-US" altLang="ko-KR" sz="1100" baseline="0"/>
            <a:t> 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A7D1-C719-4387-BCF7-D4A5064513F9}">
  <dimension ref="F3:R62"/>
  <sheetViews>
    <sheetView topLeftCell="A43" workbookViewId="0">
      <selection activeCell="T48" sqref="T48"/>
    </sheetView>
  </sheetViews>
  <sheetFormatPr defaultRowHeight="17.399999999999999" x14ac:dyDescent="0.4"/>
  <cols>
    <col min="6" max="6" width="10.796875" bestFit="1" customWidth="1"/>
    <col min="7" max="7" width="9.69921875" bestFit="1" customWidth="1"/>
  </cols>
  <sheetData>
    <row r="3" spans="6:17" x14ac:dyDescent="0.4">
      <c r="G3" s="2"/>
    </row>
    <row r="4" spans="6:17" x14ac:dyDescent="0.4">
      <c r="F4" s="3" t="s">
        <v>22</v>
      </c>
      <c r="G4" s="3"/>
      <c r="H4" s="3" t="s">
        <v>0</v>
      </c>
      <c r="I4" s="3" t="s">
        <v>1</v>
      </c>
      <c r="J4" s="3" t="s">
        <v>2</v>
      </c>
      <c r="K4" s="3" t="s">
        <v>3</v>
      </c>
      <c r="L4" s="3" t="s">
        <v>4</v>
      </c>
      <c r="M4" s="3" t="s">
        <v>5</v>
      </c>
      <c r="N4" s="3" t="s">
        <v>6</v>
      </c>
      <c r="O4" s="3" t="s">
        <v>7</v>
      </c>
      <c r="P4" s="3" t="s">
        <v>8</v>
      </c>
      <c r="Q4" s="3" t="s">
        <v>9</v>
      </c>
    </row>
    <row r="5" spans="6:17" x14ac:dyDescent="0.4">
      <c r="F5" s="4"/>
      <c r="G5" s="3" t="s">
        <v>20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</row>
    <row r="6" spans="6:17" x14ac:dyDescent="0.4">
      <c r="F6" s="4"/>
      <c r="G6" s="3"/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</row>
    <row r="7" spans="6:17" x14ac:dyDescent="0.4">
      <c r="F7" s="4"/>
      <c r="G7" s="3" t="s">
        <v>21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6:17" x14ac:dyDescent="0.4"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6:17" x14ac:dyDescent="0.4"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6:17" x14ac:dyDescent="0.4">
      <c r="F10" s="3" t="s">
        <v>23</v>
      </c>
      <c r="G10" s="3"/>
      <c r="H10" s="3" t="s">
        <v>0</v>
      </c>
      <c r="I10" s="3" t="s">
        <v>1</v>
      </c>
      <c r="J10" s="3" t="s">
        <v>2</v>
      </c>
      <c r="K10" s="3" t="s">
        <v>3</v>
      </c>
      <c r="L10" s="3" t="s">
        <v>4</v>
      </c>
      <c r="M10" s="3" t="s">
        <v>5</v>
      </c>
      <c r="N10" s="3" t="s">
        <v>6</v>
      </c>
      <c r="O10" s="3" t="s">
        <v>7</v>
      </c>
      <c r="P10" s="3" t="s">
        <v>8</v>
      </c>
      <c r="Q10" s="3" t="s">
        <v>9</v>
      </c>
    </row>
    <row r="11" spans="6:17" x14ac:dyDescent="0.4">
      <c r="F11" s="4"/>
      <c r="G11" s="3" t="s">
        <v>20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</row>
    <row r="12" spans="6:17" x14ac:dyDescent="0.4">
      <c r="F12" s="4"/>
      <c r="G12" s="3"/>
      <c r="H12" s="3" t="s">
        <v>10</v>
      </c>
      <c r="I12" s="3" t="s">
        <v>11</v>
      </c>
      <c r="J12" s="3" t="s">
        <v>12</v>
      </c>
      <c r="K12" s="3" t="s">
        <v>13</v>
      </c>
      <c r="L12" s="3" t="s">
        <v>14</v>
      </c>
      <c r="M12" s="3" t="s">
        <v>15</v>
      </c>
      <c r="N12" s="3" t="s">
        <v>16</v>
      </c>
      <c r="O12" s="3" t="s">
        <v>17</v>
      </c>
      <c r="P12" s="3" t="s">
        <v>18</v>
      </c>
      <c r="Q12" s="3" t="s">
        <v>19</v>
      </c>
    </row>
    <row r="13" spans="6:17" x14ac:dyDescent="0.4">
      <c r="F13" s="4"/>
      <c r="G13" s="3" t="s">
        <v>21</v>
      </c>
      <c r="H13" s="3">
        <v>1</v>
      </c>
      <c r="I13" s="3">
        <v>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6:17" x14ac:dyDescent="0.4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6:17" x14ac:dyDescent="0.4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6:17" x14ac:dyDescent="0.4">
      <c r="F16" s="3" t="s">
        <v>24</v>
      </c>
      <c r="G16" s="3"/>
      <c r="H16" s="3" t="s">
        <v>0</v>
      </c>
      <c r="I16" s="3" t="s">
        <v>1</v>
      </c>
      <c r="J16" s="3" t="s">
        <v>2</v>
      </c>
      <c r="K16" s="3" t="s">
        <v>3</v>
      </c>
      <c r="L16" s="3" t="s">
        <v>4</v>
      </c>
      <c r="M16" s="3" t="s">
        <v>5</v>
      </c>
      <c r="N16" s="3" t="s">
        <v>6</v>
      </c>
      <c r="O16" s="3" t="s">
        <v>7</v>
      </c>
      <c r="P16" s="3" t="s">
        <v>8</v>
      </c>
      <c r="Q16" s="3" t="s">
        <v>9</v>
      </c>
    </row>
    <row r="17" spans="6:18" x14ac:dyDescent="0.4">
      <c r="F17" s="4"/>
      <c r="G17" s="3" t="s">
        <v>20</v>
      </c>
      <c r="H17" s="3">
        <v>1</v>
      </c>
      <c r="I17" s="3">
        <v>1</v>
      </c>
      <c r="J17" s="3">
        <v>1</v>
      </c>
      <c r="K17" s="3">
        <v>1</v>
      </c>
      <c r="L17" s="3">
        <v>0</v>
      </c>
      <c r="M17" s="3">
        <v>1</v>
      </c>
      <c r="N17" s="3">
        <v>1</v>
      </c>
      <c r="O17" s="3">
        <v>0</v>
      </c>
      <c r="P17" s="3">
        <v>0</v>
      </c>
      <c r="Q17" s="3">
        <v>1</v>
      </c>
    </row>
    <row r="18" spans="6:18" x14ac:dyDescent="0.4">
      <c r="F18" s="4"/>
      <c r="G18" s="3"/>
      <c r="H18" s="3" t="s">
        <v>10</v>
      </c>
      <c r="I18" s="3" t="s">
        <v>11</v>
      </c>
      <c r="J18" s="3" t="s">
        <v>12</v>
      </c>
      <c r="K18" s="3" t="s">
        <v>13</v>
      </c>
      <c r="L18" s="3" t="s">
        <v>14</v>
      </c>
      <c r="M18" s="3" t="s">
        <v>15</v>
      </c>
      <c r="N18" s="3" t="s">
        <v>16</v>
      </c>
      <c r="O18" s="3" t="s">
        <v>17</v>
      </c>
      <c r="P18" s="3" t="s">
        <v>18</v>
      </c>
      <c r="Q18" s="3" t="s">
        <v>19</v>
      </c>
    </row>
    <row r="19" spans="6:18" x14ac:dyDescent="0.4">
      <c r="F19" s="4"/>
      <c r="G19" s="3" t="s">
        <v>21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0</v>
      </c>
      <c r="Q19" s="3">
        <v>0</v>
      </c>
    </row>
    <row r="20" spans="6:18" x14ac:dyDescent="0.4"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6:18" x14ac:dyDescent="0.4"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6:18" x14ac:dyDescent="0.4">
      <c r="F22" s="3" t="s">
        <v>25</v>
      </c>
      <c r="G22" s="3"/>
      <c r="H22" s="3" t="s">
        <v>0</v>
      </c>
      <c r="I22" s="3" t="s">
        <v>1</v>
      </c>
      <c r="J22" s="3" t="s">
        <v>2</v>
      </c>
      <c r="K22" s="3" t="s">
        <v>3</v>
      </c>
      <c r="L22" s="3" t="s">
        <v>4</v>
      </c>
      <c r="M22" s="3" t="s">
        <v>5</v>
      </c>
      <c r="N22" s="3" t="s">
        <v>6</v>
      </c>
      <c r="O22" s="3" t="s">
        <v>7</v>
      </c>
      <c r="P22" s="3" t="s">
        <v>8</v>
      </c>
      <c r="Q22" s="3" t="s">
        <v>9</v>
      </c>
    </row>
    <row r="23" spans="6:18" x14ac:dyDescent="0.4">
      <c r="F23" s="4"/>
      <c r="G23" s="3" t="s">
        <v>20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0</v>
      </c>
      <c r="O23" s="3">
        <v>1</v>
      </c>
      <c r="P23" s="3">
        <v>1</v>
      </c>
      <c r="Q23" s="3">
        <v>1</v>
      </c>
    </row>
    <row r="24" spans="6:18" x14ac:dyDescent="0.4">
      <c r="F24" s="4"/>
      <c r="G24" s="3"/>
      <c r="H24" s="3" t="s">
        <v>10</v>
      </c>
      <c r="I24" s="3" t="s">
        <v>11</v>
      </c>
      <c r="J24" s="3" t="s">
        <v>12</v>
      </c>
      <c r="K24" s="3" t="s">
        <v>13</v>
      </c>
      <c r="L24" s="3" t="s">
        <v>14</v>
      </c>
      <c r="M24" s="3" t="s">
        <v>15</v>
      </c>
      <c r="N24" s="3" t="s">
        <v>16</v>
      </c>
      <c r="O24" s="3" t="s">
        <v>17</v>
      </c>
      <c r="P24" s="3" t="s">
        <v>18</v>
      </c>
      <c r="Q24" s="3" t="s">
        <v>19</v>
      </c>
    </row>
    <row r="25" spans="6:18" x14ac:dyDescent="0.4">
      <c r="F25" s="4"/>
      <c r="G25" s="3" t="s">
        <v>21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0</v>
      </c>
    </row>
    <row r="29" spans="6:18" x14ac:dyDescent="0.4">
      <c r="H29" t="s">
        <v>0</v>
      </c>
      <c r="I29" t="s">
        <v>1</v>
      </c>
      <c r="J29" t="s">
        <v>2</v>
      </c>
      <c r="K29" t="s">
        <v>3</v>
      </c>
      <c r="L29" t="s">
        <v>4</v>
      </c>
      <c r="M29" t="s">
        <v>5</v>
      </c>
      <c r="N29" t="s">
        <v>6</v>
      </c>
      <c r="O29" t="s">
        <v>7</v>
      </c>
      <c r="P29" t="s">
        <v>8</v>
      </c>
      <c r="Q29" t="s">
        <v>9</v>
      </c>
    </row>
    <row r="30" spans="6:18" x14ac:dyDescent="0.4">
      <c r="G30" t="s">
        <v>20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</row>
    <row r="31" spans="6:18" x14ac:dyDescent="0.4">
      <c r="H31">
        <f>2^0</f>
        <v>1</v>
      </c>
      <c r="I31">
        <f>2^1</f>
        <v>2</v>
      </c>
      <c r="J31">
        <f>2^2</f>
        <v>4</v>
      </c>
      <c r="K31">
        <f>2^3</f>
        <v>8</v>
      </c>
      <c r="L31">
        <f>2^4</f>
        <v>16</v>
      </c>
      <c r="M31">
        <f>2^5</f>
        <v>32</v>
      </c>
      <c r="N31">
        <f>2^6</f>
        <v>64</v>
      </c>
      <c r="O31">
        <f>2^7</f>
        <v>128</v>
      </c>
      <c r="P31">
        <f>2^8</f>
        <v>256</v>
      </c>
      <c r="Q31">
        <f>2^9</f>
        <v>512</v>
      </c>
      <c r="R31">
        <f>SUM(H31:Q31)</f>
        <v>1023</v>
      </c>
    </row>
    <row r="32" spans="6:18" x14ac:dyDescent="0.4">
      <c r="H32" t="s">
        <v>10</v>
      </c>
      <c r="I32" t="s">
        <v>11</v>
      </c>
      <c r="J32" t="s">
        <v>12</v>
      </c>
      <c r="K32" t="s">
        <v>13</v>
      </c>
      <c r="L32" t="s">
        <v>14</v>
      </c>
      <c r="M32" t="s">
        <v>15</v>
      </c>
      <c r="N32" t="s">
        <v>16</v>
      </c>
      <c r="O32" t="s">
        <v>17</v>
      </c>
      <c r="P32" t="s">
        <v>18</v>
      </c>
      <c r="Q32" t="s">
        <v>19</v>
      </c>
    </row>
    <row r="33" spans="6:18" x14ac:dyDescent="0.4">
      <c r="G33" t="s">
        <v>21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</row>
    <row r="34" spans="6:18" x14ac:dyDescent="0.4">
      <c r="H34">
        <f>2^0</f>
        <v>1</v>
      </c>
      <c r="I34">
        <f>2^1</f>
        <v>2</v>
      </c>
      <c r="J34">
        <f>2^2</f>
        <v>4</v>
      </c>
      <c r="K34">
        <f>2^3</f>
        <v>8</v>
      </c>
      <c r="L34">
        <f>2^4</f>
        <v>16</v>
      </c>
      <c r="M34">
        <f>2^5</f>
        <v>32</v>
      </c>
      <c r="N34">
        <f>2^6</f>
        <v>64</v>
      </c>
      <c r="O34">
        <f>2^7</f>
        <v>128</v>
      </c>
      <c r="P34">
        <f>2^8</f>
        <v>256</v>
      </c>
      <c r="Q34">
        <f>2^9</f>
        <v>512</v>
      </c>
      <c r="R34">
        <f>SUM(H34:Q34)</f>
        <v>1023</v>
      </c>
    </row>
    <row r="36" spans="6:18" x14ac:dyDescent="0.4">
      <c r="H36" t="s">
        <v>0</v>
      </c>
      <c r="I36" t="s">
        <v>1</v>
      </c>
      <c r="J36" t="s">
        <v>2</v>
      </c>
      <c r="K36" t="s">
        <v>3</v>
      </c>
      <c r="L36" t="s">
        <v>4</v>
      </c>
      <c r="M36" t="s">
        <v>5</v>
      </c>
      <c r="N36" t="s">
        <v>6</v>
      </c>
      <c r="O36" t="s">
        <v>7</v>
      </c>
      <c r="P36" t="s">
        <v>8</v>
      </c>
      <c r="Q36" t="s">
        <v>9</v>
      </c>
    </row>
    <row r="37" spans="6:18" x14ac:dyDescent="0.4">
      <c r="G37" t="s">
        <v>20</v>
      </c>
      <c r="H37">
        <v>1</v>
      </c>
      <c r="I37">
        <v>1</v>
      </c>
      <c r="J37">
        <v>1</v>
      </c>
      <c r="K37">
        <v>1</v>
      </c>
      <c r="L37" s="1">
        <v>0</v>
      </c>
      <c r="M37">
        <v>1</v>
      </c>
      <c r="N37">
        <v>1</v>
      </c>
      <c r="O37" s="1">
        <v>0</v>
      </c>
      <c r="P37" s="1">
        <v>0</v>
      </c>
      <c r="Q37">
        <v>1</v>
      </c>
    </row>
    <row r="38" spans="6:18" x14ac:dyDescent="0.4">
      <c r="H38">
        <f>2^0</f>
        <v>1</v>
      </c>
      <c r="I38">
        <f>2^1</f>
        <v>2</v>
      </c>
      <c r="J38">
        <f>2^2</f>
        <v>4</v>
      </c>
      <c r="K38">
        <f>2^3</f>
        <v>8</v>
      </c>
      <c r="L38" s="1">
        <v>0</v>
      </c>
      <c r="M38">
        <f>2^5</f>
        <v>32</v>
      </c>
      <c r="N38">
        <f>2^6</f>
        <v>64</v>
      </c>
      <c r="O38" s="1">
        <v>0</v>
      </c>
      <c r="P38" s="1">
        <v>0</v>
      </c>
      <c r="Q38">
        <f>2^9</f>
        <v>512</v>
      </c>
      <c r="R38">
        <f>SUM(H38:Q38)</f>
        <v>623</v>
      </c>
    </row>
    <row r="39" spans="6:18" x14ac:dyDescent="0.4">
      <c r="H39" t="s">
        <v>10</v>
      </c>
      <c r="I39" t="s">
        <v>11</v>
      </c>
      <c r="J39" t="s">
        <v>12</v>
      </c>
      <c r="K39" t="s">
        <v>13</v>
      </c>
      <c r="L39" t="s">
        <v>14</v>
      </c>
      <c r="M39" t="s">
        <v>15</v>
      </c>
      <c r="N39" t="s">
        <v>16</v>
      </c>
      <c r="O39" t="s">
        <v>17</v>
      </c>
      <c r="P39" t="s">
        <v>18</v>
      </c>
      <c r="Q39" t="s">
        <v>19</v>
      </c>
    </row>
    <row r="40" spans="6:18" x14ac:dyDescent="0.4">
      <c r="G40" t="s">
        <v>21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 s="1">
        <v>0</v>
      </c>
      <c r="Q40" s="1">
        <v>0</v>
      </c>
    </row>
    <row r="41" spans="6:18" x14ac:dyDescent="0.4">
      <c r="H41">
        <f>2^0</f>
        <v>1</v>
      </c>
      <c r="I41">
        <f>2^1</f>
        <v>2</v>
      </c>
      <c r="J41">
        <f>2^2</f>
        <v>4</v>
      </c>
      <c r="K41">
        <f>2^3</f>
        <v>8</v>
      </c>
      <c r="L41">
        <f>2^4</f>
        <v>16</v>
      </c>
      <c r="M41">
        <f>2^5</f>
        <v>32</v>
      </c>
      <c r="N41">
        <f>2^6</f>
        <v>64</v>
      </c>
      <c r="O41">
        <f>2^7</f>
        <v>128</v>
      </c>
      <c r="P41" s="1">
        <v>0</v>
      </c>
      <c r="Q41" s="1">
        <v>0</v>
      </c>
      <c r="R41">
        <f>SUM(H41:Q41)</f>
        <v>255</v>
      </c>
    </row>
    <row r="44" spans="6:18" x14ac:dyDescent="0.4">
      <c r="F44" s="3" t="s">
        <v>26</v>
      </c>
      <c r="G44" s="3"/>
      <c r="H44" s="3" t="s">
        <v>0</v>
      </c>
      <c r="I44" s="3" t="s">
        <v>1</v>
      </c>
      <c r="J44" s="3" t="s">
        <v>2</v>
      </c>
      <c r="K44" s="3" t="s">
        <v>3</v>
      </c>
      <c r="L44" s="3" t="s">
        <v>4</v>
      </c>
      <c r="M44" s="3" t="s">
        <v>5</v>
      </c>
      <c r="N44" s="3" t="s">
        <v>6</v>
      </c>
      <c r="O44" s="3" t="s">
        <v>7</v>
      </c>
      <c r="P44" s="3" t="s">
        <v>8</v>
      </c>
      <c r="Q44" s="3" t="s">
        <v>9</v>
      </c>
    </row>
    <row r="45" spans="6:18" x14ac:dyDescent="0.4">
      <c r="F45" s="4"/>
      <c r="G45" s="3" t="s">
        <v>20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>
        <v>1</v>
      </c>
    </row>
    <row r="46" spans="6:18" x14ac:dyDescent="0.4">
      <c r="F46" s="4"/>
      <c r="G46" s="3" t="s">
        <v>27</v>
      </c>
      <c r="H46" s="3">
        <f>2^0</f>
        <v>1</v>
      </c>
      <c r="I46" s="3">
        <f>2^1</f>
        <v>2</v>
      </c>
      <c r="J46" s="3">
        <f>2^2</f>
        <v>4</v>
      </c>
      <c r="K46" s="3">
        <f>2^3</f>
        <v>8</v>
      </c>
      <c r="L46" s="3">
        <f>2^4</f>
        <v>16</v>
      </c>
      <c r="M46" s="3">
        <f>2^5</f>
        <v>32</v>
      </c>
      <c r="N46" s="3">
        <f>2^6</f>
        <v>64</v>
      </c>
      <c r="O46" s="3">
        <f>2^7</f>
        <v>128</v>
      </c>
      <c r="P46" s="3">
        <f>2^8</f>
        <v>256</v>
      </c>
      <c r="Q46" s="3">
        <f>2^9</f>
        <v>512</v>
      </c>
      <c r="R46">
        <f>SUM(H46:Q46)</f>
        <v>1023</v>
      </c>
    </row>
    <row r="47" spans="6:18" x14ac:dyDescent="0.4">
      <c r="F47" s="4"/>
      <c r="G47" s="3" t="s">
        <v>21</v>
      </c>
      <c r="H47" s="3" t="s">
        <v>10</v>
      </c>
      <c r="I47" s="3" t="s">
        <v>11</v>
      </c>
      <c r="J47" s="3" t="s">
        <v>12</v>
      </c>
      <c r="K47" s="3" t="s">
        <v>13</v>
      </c>
      <c r="L47" s="3" t="s">
        <v>14</v>
      </c>
      <c r="M47" s="3" t="s">
        <v>15</v>
      </c>
      <c r="N47" s="3" t="s">
        <v>16</v>
      </c>
      <c r="O47" s="3" t="s">
        <v>17</v>
      </c>
      <c r="P47" s="3" t="s">
        <v>18</v>
      </c>
      <c r="Q47" s="3" t="s">
        <v>19</v>
      </c>
    </row>
    <row r="48" spans="6:18" x14ac:dyDescent="0.4">
      <c r="F48" s="4"/>
      <c r="G48" s="3" t="s">
        <v>27</v>
      </c>
      <c r="H48" s="3">
        <f>2^0</f>
        <v>1</v>
      </c>
      <c r="I48" s="3">
        <f>2^1</f>
        <v>2</v>
      </c>
      <c r="J48" s="3">
        <f>2^2</f>
        <v>4</v>
      </c>
      <c r="K48" s="3">
        <f>2^3</f>
        <v>8</v>
      </c>
      <c r="L48" s="3">
        <f>2^4</f>
        <v>16</v>
      </c>
      <c r="M48" s="3">
        <f>2^5</f>
        <v>32</v>
      </c>
      <c r="N48" s="3">
        <f>2^6</f>
        <v>64</v>
      </c>
      <c r="O48" s="3">
        <f>2^7</f>
        <v>128</v>
      </c>
      <c r="P48" s="3">
        <f>2^8</f>
        <v>256</v>
      </c>
      <c r="Q48" s="3">
        <f>2^9</f>
        <v>512</v>
      </c>
      <c r="R48">
        <f>SUM(H48:Q48)</f>
        <v>1023</v>
      </c>
    </row>
    <row r="51" spans="6:18" x14ac:dyDescent="0.4">
      <c r="G51" s="3"/>
      <c r="H51" s="3" t="s">
        <v>28</v>
      </c>
      <c r="I51" s="3" t="s">
        <v>29</v>
      </c>
      <c r="J51" s="3" t="s">
        <v>30</v>
      </c>
      <c r="K51" s="3" t="s">
        <v>31</v>
      </c>
      <c r="L51" s="3" t="s">
        <v>32</v>
      </c>
      <c r="M51" s="3" t="s">
        <v>33</v>
      </c>
      <c r="N51" s="3" t="s">
        <v>34</v>
      </c>
      <c r="O51" s="3" t="s">
        <v>35</v>
      </c>
      <c r="P51" s="3" t="s">
        <v>36</v>
      </c>
      <c r="Q51" s="3" t="s">
        <v>37</v>
      </c>
    </row>
    <row r="52" spans="6:18" x14ac:dyDescent="0.4">
      <c r="G52" s="3" t="s">
        <v>20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</row>
    <row r="53" spans="6:18" x14ac:dyDescent="0.4">
      <c r="G53" s="3" t="s">
        <v>27</v>
      </c>
      <c r="H53" s="3">
        <f>2^0</f>
        <v>1</v>
      </c>
      <c r="I53" s="3">
        <f>2^1</f>
        <v>2</v>
      </c>
      <c r="J53" s="3">
        <f>2^2</f>
        <v>4</v>
      </c>
      <c r="K53" s="3">
        <f>2^3</f>
        <v>8</v>
      </c>
      <c r="L53" s="3">
        <f>2^4</f>
        <v>16</v>
      </c>
      <c r="M53" s="3">
        <f>2^5</f>
        <v>32</v>
      </c>
      <c r="N53" s="3">
        <f>2^6</f>
        <v>64</v>
      </c>
      <c r="O53" s="3">
        <f>2^7</f>
        <v>128</v>
      </c>
      <c r="P53" s="3">
        <f>2^8</f>
        <v>256</v>
      </c>
      <c r="Q53" s="3">
        <f>2^9</f>
        <v>512</v>
      </c>
    </row>
    <row r="54" spans="6:18" x14ac:dyDescent="0.4">
      <c r="G54" s="3" t="s">
        <v>21</v>
      </c>
      <c r="H54" s="3" t="s">
        <v>38</v>
      </c>
      <c r="I54" s="3" t="s">
        <v>39</v>
      </c>
      <c r="J54" s="3" t="s">
        <v>40</v>
      </c>
      <c r="K54" s="3" t="s">
        <v>41</v>
      </c>
      <c r="L54" s="3" t="s">
        <v>42</v>
      </c>
      <c r="M54" s="3" t="s">
        <v>43</v>
      </c>
      <c r="N54" s="3" t="s">
        <v>44</v>
      </c>
      <c r="O54" s="3" t="s">
        <v>45</v>
      </c>
      <c r="P54" s="3" t="s">
        <v>46</v>
      </c>
      <c r="Q54" s="3" t="s">
        <v>47</v>
      </c>
    </row>
    <row r="55" spans="6:18" x14ac:dyDescent="0.4">
      <c r="G55" s="3" t="s">
        <v>27</v>
      </c>
      <c r="H55" s="3">
        <f>2^0</f>
        <v>1</v>
      </c>
      <c r="I55" s="3">
        <f>2^1</f>
        <v>2</v>
      </c>
      <c r="J55" s="3">
        <f>2^2</f>
        <v>4</v>
      </c>
      <c r="K55" s="3">
        <f>2^3</f>
        <v>8</v>
      </c>
      <c r="L55" s="3">
        <f>2^4</f>
        <v>16</v>
      </c>
      <c r="M55" s="3">
        <f>2^5</f>
        <v>32</v>
      </c>
      <c r="N55" s="3">
        <f>2^6</f>
        <v>64</v>
      </c>
      <c r="O55" s="3">
        <f>2^7</f>
        <v>128</v>
      </c>
      <c r="P55" s="3">
        <f>2^8</f>
        <v>256</v>
      </c>
      <c r="Q55" s="3">
        <f>2^9</f>
        <v>512</v>
      </c>
    </row>
    <row r="58" spans="6:18" x14ac:dyDescent="0.4">
      <c r="F58" s="3" t="s">
        <v>26</v>
      </c>
      <c r="G58" s="3"/>
      <c r="H58" s="3" t="s">
        <v>0</v>
      </c>
      <c r="I58" s="3" t="s">
        <v>1</v>
      </c>
      <c r="J58" s="3" t="s">
        <v>2</v>
      </c>
      <c r="K58" s="3" t="s">
        <v>3</v>
      </c>
      <c r="L58" s="3" t="s">
        <v>4</v>
      </c>
      <c r="M58" s="3" t="s">
        <v>5</v>
      </c>
      <c r="N58" s="3" t="s">
        <v>6</v>
      </c>
      <c r="O58" s="3" t="s">
        <v>7</v>
      </c>
      <c r="P58" s="3" t="s">
        <v>8</v>
      </c>
      <c r="Q58" s="3" t="s">
        <v>9</v>
      </c>
    </row>
    <row r="59" spans="6:18" x14ac:dyDescent="0.4">
      <c r="F59" s="4"/>
      <c r="G59" s="3" t="s">
        <v>20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>
        <v>1</v>
      </c>
    </row>
    <row r="60" spans="6:18" x14ac:dyDescent="0.4">
      <c r="F60" s="4"/>
      <c r="G60" s="3" t="s">
        <v>27</v>
      </c>
      <c r="H60" s="3">
        <f>2^0</f>
        <v>1</v>
      </c>
      <c r="I60" s="3">
        <f>2^1</f>
        <v>2</v>
      </c>
      <c r="J60" s="3">
        <f>2^2</f>
        <v>4</v>
      </c>
      <c r="K60" s="3">
        <f>2^3</f>
        <v>8</v>
      </c>
      <c r="L60" s="3"/>
      <c r="M60" s="3">
        <f>2^5</f>
        <v>32</v>
      </c>
      <c r="N60" s="3">
        <f>2^6</f>
        <v>64</v>
      </c>
      <c r="O60" s="3">
        <f>2^7</f>
        <v>128</v>
      </c>
      <c r="P60" s="3">
        <f>2^8</f>
        <v>256</v>
      </c>
      <c r="Q60" s="3">
        <f>2^9</f>
        <v>512</v>
      </c>
      <c r="R60">
        <f>SUM(H60:Q60)</f>
        <v>1007</v>
      </c>
    </row>
    <row r="61" spans="6:18" x14ac:dyDescent="0.4">
      <c r="F61" s="4"/>
      <c r="G61" s="3" t="s">
        <v>21</v>
      </c>
      <c r="H61" s="3" t="s">
        <v>10</v>
      </c>
      <c r="I61" s="3" t="s">
        <v>11</v>
      </c>
      <c r="J61" s="3" t="s">
        <v>12</v>
      </c>
      <c r="K61" s="3" t="s">
        <v>13</v>
      </c>
      <c r="L61" s="3" t="s">
        <v>14</v>
      </c>
      <c r="M61" s="3" t="s">
        <v>15</v>
      </c>
      <c r="N61" s="3" t="s">
        <v>16</v>
      </c>
      <c r="O61" s="3" t="s">
        <v>17</v>
      </c>
      <c r="P61" s="3" t="s">
        <v>18</v>
      </c>
      <c r="Q61" s="3" t="s">
        <v>19</v>
      </c>
    </row>
    <row r="62" spans="6:18" x14ac:dyDescent="0.4">
      <c r="F62" s="4"/>
      <c r="G62" s="3" t="s">
        <v>27</v>
      </c>
      <c r="H62" s="3">
        <f>2^0</f>
        <v>1</v>
      </c>
      <c r="I62" s="3">
        <f>2^1</f>
        <v>2</v>
      </c>
      <c r="J62" s="3">
        <f>2^2</f>
        <v>4</v>
      </c>
      <c r="K62" s="3">
        <f>2^3</f>
        <v>8</v>
      </c>
      <c r="L62" s="3">
        <f>2^4</f>
        <v>16</v>
      </c>
      <c r="M62" s="3">
        <f>2^5</f>
        <v>32</v>
      </c>
      <c r="N62" s="3">
        <f>2^6</f>
        <v>64</v>
      </c>
      <c r="O62" s="3">
        <f>2^7</f>
        <v>128</v>
      </c>
      <c r="P62" s="3">
        <f>2^8</f>
        <v>256</v>
      </c>
      <c r="Q62" s="3">
        <f>2^9</f>
        <v>512</v>
      </c>
      <c r="R62">
        <f>SUM(H62:Q62)</f>
        <v>1023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444B-2A38-49DF-ADC7-D793FAE3B7F1}">
  <dimension ref="D3:R7"/>
  <sheetViews>
    <sheetView tabSelected="1" topLeftCell="A7" workbookViewId="0">
      <selection activeCell="L10" sqref="L10"/>
    </sheetView>
  </sheetViews>
  <sheetFormatPr defaultRowHeight="17.399999999999999" x14ac:dyDescent="0.4"/>
  <cols>
    <col min="4" max="4" width="16" bestFit="1" customWidth="1"/>
  </cols>
  <sheetData>
    <row r="3" spans="4:18" x14ac:dyDescent="0.4">
      <c r="G3" t="s">
        <v>48</v>
      </c>
      <c r="H3" t="s">
        <v>63</v>
      </c>
      <c r="I3" t="s">
        <v>64</v>
      </c>
      <c r="J3" t="s">
        <v>62</v>
      </c>
      <c r="K3" t="s">
        <v>65</v>
      </c>
      <c r="N3" t="s">
        <v>73</v>
      </c>
      <c r="O3" t="s">
        <v>63</v>
      </c>
      <c r="P3" t="s">
        <v>64</v>
      </c>
      <c r="Q3" t="s">
        <v>62</v>
      </c>
      <c r="R3" t="s">
        <v>65</v>
      </c>
    </row>
    <row r="4" spans="4:18" x14ac:dyDescent="0.4">
      <c r="D4" s="6" t="s">
        <v>70</v>
      </c>
      <c r="G4" t="s">
        <v>66</v>
      </c>
      <c r="H4" s="6" t="s">
        <v>28</v>
      </c>
      <c r="I4" s="5" t="s">
        <v>29</v>
      </c>
      <c r="J4" s="5" t="s">
        <v>31</v>
      </c>
      <c r="K4" s="5" t="s">
        <v>51</v>
      </c>
      <c r="N4" t="s">
        <v>66</v>
      </c>
      <c r="O4" s="6" t="s">
        <v>38</v>
      </c>
      <c r="P4" s="5" t="s">
        <v>40</v>
      </c>
      <c r="Q4" s="5" t="s">
        <v>57</v>
      </c>
      <c r="R4" s="5" t="s">
        <v>61</v>
      </c>
    </row>
    <row r="5" spans="4:18" x14ac:dyDescent="0.4">
      <c r="D5" s="5" t="s">
        <v>71</v>
      </c>
      <c r="G5" t="s">
        <v>67</v>
      </c>
      <c r="H5" s="6" t="s">
        <v>30</v>
      </c>
      <c r="I5" s="7" t="s">
        <v>49</v>
      </c>
      <c r="J5" s="7" t="s">
        <v>52</v>
      </c>
      <c r="N5" t="s">
        <v>67</v>
      </c>
      <c r="O5" s="6" t="s">
        <v>39</v>
      </c>
      <c r="P5" s="7" t="s">
        <v>56</v>
      </c>
      <c r="Q5" s="7" t="s">
        <v>60</v>
      </c>
    </row>
    <row r="6" spans="4:18" x14ac:dyDescent="0.4">
      <c r="D6" s="7" t="s">
        <v>72</v>
      </c>
      <c r="G6" t="s">
        <v>68</v>
      </c>
      <c r="H6" s="6" t="s">
        <v>50</v>
      </c>
      <c r="I6" s="7" t="s">
        <v>53</v>
      </c>
      <c r="N6" t="s">
        <v>68</v>
      </c>
      <c r="O6" s="6" t="s">
        <v>55</v>
      </c>
      <c r="P6" s="7" t="s">
        <v>59</v>
      </c>
    </row>
    <row r="7" spans="4:18" x14ac:dyDescent="0.4">
      <c r="G7" t="s">
        <v>69</v>
      </c>
      <c r="H7" s="6" t="s">
        <v>54</v>
      </c>
      <c r="N7" t="s">
        <v>69</v>
      </c>
      <c r="O7" s="6" t="s">
        <v>58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오태호</dc:creator>
  <cp:lastModifiedBy>오태호</cp:lastModifiedBy>
  <dcterms:created xsi:type="dcterms:W3CDTF">2025-06-16T16:38:23Z</dcterms:created>
  <dcterms:modified xsi:type="dcterms:W3CDTF">2026-03-08T07:14:23Z</dcterms:modified>
</cp:coreProperties>
</file>